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llage Dakar" sheetId="1" state="visible" r:id="rId3"/>
    <sheet name="Notes &amp; Source" sheetId="2" state="visible" r:id="rId4"/>
  </sheets>
  <definedNames>
    <definedName function="false" hidden="true" localSheetId="0" name="_xlnm._FilterDatabase" vbProcedure="false">'Maillage Dakar'!$A$1:$H$54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<sst xmlns="http://schemas.openxmlformats.org/spreadsheetml/2006/main" count="231" uniqueCount="93">
  <si>
    <t xml:space="preserve">Région</t>
  </si>
  <si>
    <t xml:space="preserve">Département</t>
  </si>
  <si>
    <t xml:space="preserve">Arrondissement</t>
  </si>
  <si>
    <t xml:space="preserve">Commune</t>
  </si>
  <si>
    <t xml:space="preserve">Population (RGPH 2023)</t>
  </si>
  <si>
    <t xml:space="preserve">Zone commerciale</t>
  </si>
  <si>
    <t xml:space="preserve">Agent assigné</t>
  </si>
  <si>
    <t xml:space="preserve">Statut couverture</t>
  </si>
  <si>
    <t xml:space="preserve">DAKAR</t>
  </si>
  <si>
    <t xml:space="preserve">AR. DAKAR-PLATEAU</t>
  </si>
  <si>
    <t xml:space="preserve">GOREE</t>
  </si>
  <si>
    <t xml:space="preserve">DAKAR-PLATEAU</t>
  </si>
  <si>
    <t xml:space="preserve">MEDINA</t>
  </si>
  <si>
    <t xml:space="preserve">GUEULE TAPEE-FASS-COLOBANE</t>
  </si>
  <si>
    <t xml:space="preserve">FANN/POINT E/AMITIE</t>
  </si>
  <si>
    <t xml:space="preserve">AR. GRAND-DAKAR</t>
  </si>
  <si>
    <t xml:space="preserve">GRAND DAKAR</t>
  </si>
  <si>
    <t xml:space="preserve">BISCUITERIE</t>
  </si>
  <si>
    <t xml:space="preserve">HLM</t>
  </si>
  <si>
    <t xml:space="preserve">HANN/BEL AIR</t>
  </si>
  <si>
    <t xml:space="preserve">SICAP LIBERTE</t>
  </si>
  <si>
    <t xml:space="preserve">DIEUPPEUL DERKLE</t>
  </si>
  <si>
    <t xml:space="preserve">AR. ALMADIES</t>
  </si>
  <si>
    <t xml:space="preserve">OUAKAM</t>
  </si>
  <si>
    <t xml:space="preserve">NGOR</t>
  </si>
  <si>
    <t xml:space="preserve">YOFF</t>
  </si>
  <si>
    <t xml:space="preserve">MERMOZ/SACRE-COEUR</t>
  </si>
  <si>
    <t xml:space="preserve">AR. PARCELLES ASSAINIES</t>
  </si>
  <si>
    <t xml:space="preserve">GRAND YOFF</t>
  </si>
  <si>
    <t xml:space="preserve">PATTE D'OIE</t>
  </si>
  <si>
    <t xml:space="preserve">PARCELLES ASSAINIES</t>
  </si>
  <si>
    <t xml:space="preserve">CAMBERENE</t>
  </si>
  <si>
    <t xml:space="preserve">PIKINE</t>
  </si>
  <si>
    <t xml:space="preserve">AR. PIKINE DAGOUDANE</t>
  </si>
  <si>
    <t xml:space="preserve">PIKINE OUEST</t>
  </si>
  <si>
    <t xml:space="preserve">PIKINE EST</t>
  </si>
  <si>
    <t xml:space="preserve">PIKINE SUD</t>
  </si>
  <si>
    <t xml:space="preserve">DALIFORD</t>
  </si>
  <si>
    <t xml:space="preserve">DJIDAH THIAROYE KAO</t>
  </si>
  <si>
    <t xml:space="preserve">GUINAW RAIL NORD</t>
  </si>
  <si>
    <t xml:space="preserve">GUINAW RAIL SUD</t>
  </si>
  <si>
    <t xml:space="preserve">AR. THIAROYE</t>
  </si>
  <si>
    <t xml:space="preserve">THIAROYE/MER</t>
  </si>
  <si>
    <t xml:space="preserve">DIACK SAO</t>
  </si>
  <si>
    <t xml:space="preserve">DIAMAGUENE/SICAP M'BAO</t>
  </si>
  <si>
    <t xml:space="preserve">THIAROYE GARE</t>
  </si>
  <si>
    <t xml:space="preserve">M'BAO</t>
  </si>
  <si>
    <t xml:space="preserve">RUFISQUE</t>
  </si>
  <si>
    <t xml:space="preserve">AR. RUFISQUE EST</t>
  </si>
  <si>
    <t xml:space="preserve">RUFISQUE NORD</t>
  </si>
  <si>
    <t xml:space="preserve">RUFISQUE EST</t>
  </si>
  <si>
    <t xml:space="preserve">RUFISQUE OUEST</t>
  </si>
  <si>
    <t xml:space="preserve">COM. BARGNY</t>
  </si>
  <si>
    <t xml:space="preserve">BARGNY</t>
  </si>
  <si>
    <t xml:space="preserve">COM. SENDOU</t>
  </si>
  <si>
    <t xml:space="preserve">SENDOU</t>
  </si>
  <si>
    <t xml:space="preserve">AR. DIAMNIADIO</t>
  </si>
  <si>
    <t xml:space="preserve">YENE</t>
  </si>
  <si>
    <t xml:space="preserve">DIAMNIADIO</t>
  </si>
  <si>
    <t xml:space="preserve">SEBIKOTANE</t>
  </si>
  <si>
    <t xml:space="preserve">AR. SANGALKAM</t>
  </si>
  <si>
    <t xml:space="preserve">BAMBYLOR</t>
  </si>
  <si>
    <t xml:space="preserve">TIVAOUANE PEULH-NIAGHA</t>
  </si>
  <si>
    <t xml:space="preserve">SANGALKAM</t>
  </si>
  <si>
    <t xml:space="preserve">GUEDIAWAYE</t>
  </si>
  <si>
    <t xml:space="preserve">AR. SAM NOTAIRE</t>
  </si>
  <si>
    <t xml:space="preserve">GOLF SUD</t>
  </si>
  <si>
    <t xml:space="preserve">SAM NOTAIRE</t>
  </si>
  <si>
    <t xml:space="preserve">AR. WAKHINANE NIMZATT</t>
  </si>
  <si>
    <t xml:space="preserve">NDIAREME LIMAMOULAYE</t>
  </si>
  <si>
    <t xml:space="preserve">WAKHINANE NIMZATT</t>
  </si>
  <si>
    <t xml:space="preserve">MEDINA GOUNASS</t>
  </si>
  <si>
    <t xml:space="preserve">KEUR MASSAR</t>
  </si>
  <si>
    <t xml:space="preserve">AR. YEUMBEUL NORD</t>
  </si>
  <si>
    <t xml:space="preserve">YEUMBEUL NORD</t>
  </si>
  <si>
    <t xml:space="preserve">YEUMBEUL SUD</t>
  </si>
  <si>
    <t xml:space="preserve">AR. MALIKA</t>
  </si>
  <si>
    <t xml:space="preserve">MALIKA</t>
  </si>
  <si>
    <t xml:space="preserve">KEUR MASSAR NORD</t>
  </si>
  <si>
    <t xml:space="preserve">AR. JAXAAY</t>
  </si>
  <si>
    <t xml:space="preserve">JAXAAY-PARCELLES</t>
  </si>
  <si>
    <t xml:space="preserve">KEUR MASSAR SUD</t>
  </si>
  <si>
    <t xml:space="preserve">TOTAL</t>
  </si>
  <si>
    <t xml:space="preserve">Source</t>
  </si>
  <si>
    <t xml:space="preserve">ANSD – Agence Nationale de la Statistique et de la Démographie du Sénégal</t>
  </si>
  <si>
    <t xml:space="preserve">Recensement Général de la Population et de l'Habitat (RGPH), données 2023</t>
  </si>
  <si>
    <t xml:space="preserve">https://www.ansd.sn/donnees-recensements</t>
  </si>
  <si>
    <t xml:space="preserve">Structure administrative</t>
  </si>
  <si>
    <t xml:space="preserve">Région de Dakar : 5 départements (Dakar, Pikine, Rufisque, Guédiawaye, Keur Massar)</t>
  </si>
  <si>
    <t xml:space="preserve">Chaque département est subdivisé en arrondissements (ou communes directement pour Bargny et Sendou)</t>
  </si>
  <si>
    <t xml:space="preserve">Chaque arrondissement regroupe une ou plusieurs communes</t>
  </si>
  <si>
    <t xml:space="preserve">Usage</t>
  </si>
  <si>
    <t xml:space="preserve">Colonnes 'Zone commerciale', 'Agent assigné' et 'Statut couverture' sont à compléter pour le suivi clientèle.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</si>
</sst>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8" min="6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10</v>
      </c>
      <c r="E2" s="3" t="n">
        <v>1691</v>
      </c>
      <c r="F2" s="2"/>
      <c r="G2" s="2"/>
      <c r="H2" s="2"/>
    </row>
    <row r="3" customFormat="false" ht="15" hidden="false" customHeight="false" outlineLevel="0" collapsed="false">
      <c r="A3" s="2" t="s">
        <v>8</v>
      </c>
      <c r="B3" s="2" t="s">
        <v>8</v>
      </c>
      <c r="C3" s="2" t="s">
        <v>9</v>
      </c>
      <c r="D3" s="2" t="s">
        <v>11</v>
      </c>
      <c r="E3" s="3" t="n">
        <v>34951</v>
      </c>
      <c r="F3" s="2"/>
      <c r="G3" s="2"/>
      <c r="H3" s="2"/>
    </row>
    <row r="4" customFormat="false" ht="15" hidden="false" customHeight="false" outlineLevel="0" collapsed="false">
      <c r="A4" s="2" t="s">
        <v>8</v>
      </c>
      <c r="B4" s="2" t="s">
        <v>8</v>
      </c>
      <c r="C4" s="2" t="s">
        <v>9</v>
      </c>
      <c r="D4" s="2" t="s">
        <v>12</v>
      </c>
      <c r="E4" s="3" t="n">
        <v>82544</v>
      </c>
      <c r="F4" s="2"/>
      <c r="G4" s="2"/>
      <c r="H4" s="2"/>
    </row>
    <row r="5" customFormat="false" ht="15" hidden="false" customHeight="false" outlineLevel="0" collapsed="false">
      <c r="A5" s="2" t="s">
        <v>8</v>
      </c>
      <c r="B5" s="2" t="s">
        <v>8</v>
      </c>
      <c r="C5" s="2" t="s">
        <v>9</v>
      </c>
      <c r="D5" s="2" t="s">
        <v>13</v>
      </c>
      <c r="E5" s="3" t="n">
        <v>59227</v>
      </c>
      <c r="F5" s="2"/>
      <c r="G5" s="2"/>
      <c r="H5" s="2"/>
    </row>
    <row r="6" customFormat="false" ht="15" hidden="false" customHeight="false" outlineLevel="0" collapsed="false">
      <c r="A6" s="2" t="s">
        <v>8</v>
      </c>
      <c r="B6" s="2" t="s">
        <v>8</v>
      </c>
      <c r="C6" s="2" t="s">
        <v>9</v>
      </c>
      <c r="D6" s="2" t="s">
        <v>14</v>
      </c>
      <c r="E6" s="3" t="n">
        <v>20115</v>
      </c>
      <c r="F6" s="2"/>
      <c r="G6" s="2"/>
      <c r="H6" s="2"/>
    </row>
    <row r="7" customFormat="false" ht="15" hidden="false" customHeight="false" outlineLevel="0" collapsed="false">
      <c r="A7" s="2" t="s">
        <v>8</v>
      </c>
      <c r="B7" s="2" t="s">
        <v>8</v>
      </c>
      <c r="C7" s="2" t="s">
        <v>15</v>
      </c>
      <c r="D7" s="2" t="s">
        <v>16</v>
      </c>
      <c r="E7" s="3" t="n">
        <v>47334</v>
      </c>
      <c r="F7" s="2"/>
      <c r="G7" s="2"/>
      <c r="H7" s="2"/>
    </row>
    <row r="8" customFormat="false" ht="15" hidden="false" customHeight="false" outlineLevel="0" collapsed="false">
      <c r="A8" s="2" t="s">
        <v>8</v>
      </c>
      <c r="B8" s="2" t="s">
        <v>8</v>
      </c>
      <c r="C8" s="2" t="s">
        <v>15</v>
      </c>
      <c r="D8" s="2" t="s">
        <v>17</v>
      </c>
      <c r="E8" s="3" t="n">
        <v>74025</v>
      </c>
      <c r="F8" s="2"/>
      <c r="G8" s="2"/>
      <c r="H8" s="2"/>
    </row>
    <row r="9" customFormat="false" ht="15" hidden="false" customHeight="false" outlineLevel="0" collapsed="false">
      <c r="A9" s="2" t="s">
        <v>8</v>
      </c>
      <c r="B9" s="2" t="s">
        <v>8</v>
      </c>
      <c r="C9" s="2" t="s">
        <v>15</v>
      </c>
      <c r="D9" s="2" t="s">
        <v>18</v>
      </c>
      <c r="E9" s="3" t="n">
        <v>42975</v>
      </c>
      <c r="F9" s="2"/>
      <c r="G9" s="2"/>
      <c r="H9" s="2"/>
    </row>
    <row r="10" customFormat="false" ht="15" hidden="false" customHeight="false" outlineLevel="0" collapsed="false">
      <c r="A10" s="2" t="s">
        <v>8</v>
      </c>
      <c r="B10" s="2" t="s">
        <v>8</v>
      </c>
      <c r="C10" s="2" t="s">
        <v>15</v>
      </c>
      <c r="D10" s="2" t="s">
        <v>19</v>
      </c>
      <c r="E10" s="3" t="n">
        <v>86908</v>
      </c>
      <c r="F10" s="2"/>
      <c r="G10" s="2"/>
      <c r="H10" s="2"/>
    </row>
    <row r="11" customFormat="false" ht="15" hidden="false" customHeight="false" outlineLevel="0" collapsed="false">
      <c r="A11" s="2" t="s">
        <v>8</v>
      </c>
      <c r="B11" s="2" t="s">
        <v>8</v>
      </c>
      <c r="C11" s="2" t="s">
        <v>15</v>
      </c>
      <c r="D11" s="2" t="s">
        <v>20</v>
      </c>
      <c r="E11" s="3" t="n">
        <v>41079</v>
      </c>
      <c r="F11" s="2"/>
      <c r="G11" s="2"/>
      <c r="H11" s="2"/>
    </row>
    <row r="12" customFormat="false" ht="15" hidden="false" customHeight="false" outlineLevel="0" collapsed="false">
      <c r="A12" s="2" t="s">
        <v>8</v>
      </c>
      <c r="B12" s="2" t="s">
        <v>8</v>
      </c>
      <c r="C12" s="2" t="s">
        <v>15</v>
      </c>
      <c r="D12" s="2" t="s">
        <v>21</v>
      </c>
      <c r="E12" s="3" t="n">
        <v>38725</v>
      </c>
      <c r="F12" s="2"/>
      <c r="G12" s="2"/>
      <c r="H12" s="2"/>
    </row>
    <row r="13" customFormat="false" ht="15" hidden="false" customHeight="false" outlineLevel="0" collapsed="false">
      <c r="A13" s="2" t="s">
        <v>8</v>
      </c>
      <c r="B13" s="2" t="s">
        <v>8</v>
      </c>
      <c r="C13" s="2" t="s">
        <v>22</v>
      </c>
      <c r="D13" s="2" t="s">
        <v>23</v>
      </c>
      <c r="E13" s="3" t="n">
        <v>100541</v>
      </c>
      <c r="F13" s="2"/>
      <c r="G13" s="2"/>
      <c r="H13" s="2"/>
    </row>
    <row r="14" customFormat="false" ht="15" hidden="false" customHeight="false" outlineLevel="0" collapsed="false">
      <c r="A14" s="2" t="s">
        <v>8</v>
      </c>
      <c r="B14" s="2" t="s">
        <v>8</v>
      </c>
      <c r="C14" s="2" t="s">
        <v>22</v>
      </c>
      <c r="D14" s="2" t="s">
        <v>24</v>
      </c>
      <c r="E14" s="3" t="n">
        <v>17706</v>
      </c>
      <c r="F14" s="2"/>
      <c r="G14" s="2"/>
      <c r="H14" s="2"/>
    </row>
    <row r="15" customFormat="false" ht="15" hidden="false" customHeight="false" outlineLevel="0" collapsed="false">
      <c r="A15" s="2" t="s">
        <v>8</v>
      </c>
      <c r="B15" s="2" t="s">
        <v>8</v>
      </c>
      <c r="C15" s="2" t="s">
        <v>22</v>
      </c>
      <c r="D15" s="2" t="s">
        <v>25</v>
      </c>
      <c r="E15" s="3" t="n">
        <v>119351</v>
      </c>
      <c r="F15" s="2"/>
      <c r="G15" s="2"/>
      <c r="H15" s="2"/>
    </row>
    <row r="16" customFormat="false" ht="15" hidden="false" customHeight="false" outlineLevel="0" collapsed="false">
      <c r="A16" s="2" t="s">
        <v>8</v>
      </c>
      <c r="B16" s="2" t="s">
        <v>8</v>
      </c>
      <c r="C16" s="2" t="s">
        <v>22</v>
      </c>
      <c r="D16" s="2" t="s">
        <v>26</v>
      </c>
      <c r="E16" s="3" t="n">
        <v>38598</v>
      </c>
      <c r="F16" s="2"/>
      <c r="G16" s="2"/>
      <c r="H16" s="2"/>
    </row>
    <row r="17" customFormat="false" ht="15" hidden="false" customHeight="false" outlineLevel="0" collapsed="false">
      <c r="A17" s="2" t="s">
        <v>8</v>
      </c>
      <c r="B17" s="2" t="s">
        <v>8</v>
      </c>
      <c r="C17" s="2" t="s">
        <v>27</v>
      </c>
      <c r="D17" s="2" t="s">
        <v>28</v>
      </c>
      <c r="E17" s="3" t="n">
        <v>186775</v>
      </c>
      <c r="F17" s="2"/>
      <c r="G17" s="2"/>
      <c r="H17" s="2"/>
    </row>
    <row r="18" customFormat="false" ht="15" hidden="false" customHeight="false" outlineLevel="0" collapsed="false">
      <c r="A18" s="2" t="s">
        <v>8</v>
      </c>
      <c r="B18" s="2" t="s">
        <v>8</v>
      </c>
      <c r="C18" s="2" t="s">
        <v>27</v>
      </c>
      <c r="D18" s="2" t="s">
        <v>29</v>
      </c>
      <c r="E18" s="3" t="n">
        <v>46821</v>
      </c>
      <c r="F18" s="2"/>
      <c r="G18" s="2"/>
      <c r="H18" s="2"/>
    </row>
    <row r="19" customFormat="false" ht="15" hidden="false" customHeight="false" outlineLevel="0" collapsed="false">
      <c r="A19" s="2" t="s">
        <v>8</v>
      </c>
      <c r="B19" s="2" t="s">
        <v>8</v>
      </c>
      <c r="C19" s="2" t="s">
        <v>27</v>
      </c>
      <c r="D19" s="2" t="s">
        <v>30</v>
      </c>
      <c r="E19" s="3" t="n">
        <v>167671</v>
      </c>
      <c r="F19" s="2"/>
      <c r="G19" s="2"/>
      <c r="H19" s="2"/>
    </row>
    <row r="20" customFormat="false" ht="15" hidden="false" customHeight="false" outlineLevel="0" collapsed="false">
      <c r="A20" s="2" t="s">
        <v>8</v>
      </c>
      <c r="B20" s="2" t="s">
        <v>8</v>
      </c>
      <c r="C20" s="2" t="s">
        <v>27</v>
      </c>
      <c r="D20" s="2" t="s">
        <v>31</v>
      </c>
      <c r="E20" s="3" t="n">
        <v>71432</v>
      </c>
      <c r="F20" s="2"/>
      <c r="G20" s="2"/>
      <c r="H20" s="2"/>
    </row>
    <row r="21" customFormat="false" ht="15" hidden="false" customHeight="false" outlineLevel="0" collapsed="false">
      <c r="A21" s="4" t="s">
        <v>8</v>
      </c>
      <c r="B21" s="4" t="s">
        <v>32</v>
      </c>
      <c r="C21" s="4" t="s">
        <v>33</v>
      </c>
      <c r="D21" s="4" t="s">
        <v>34</v>
      </c>
      <c r="E21" s="5" t="n">
        <v>57240</v>
      </c>
      <c r="F21" s="4"/>
      <c r="G21" s="4"/>
      <c r="H21" s="4"/>
    </row>
    <row r="22" customFormat="false" ht="15" hidden="false" customHeight="false" outlineLevel="0" collapsed="false">
      <c r="A22" s="4" t="s">
        <v>8</v>
      </c>
      <c r="B22" s="4" t="s">
        <v>32</v>
      </c>
      <c r="C22" s="4" t="s">
        <v>33</v>
      </c>
      <c r="D22" s="4" t="s">
        <v>35</v>
      </c>
      <c r="E22" s="5" t="n">
        <v>32717</v>
      </c>
      <c r="F22" s="4"/>
      <c r="G22" s="4"/>
      <c r="H22" s="4"/>
    </row>
    <row r="23" customFormat="false" ht="15" hidden="false" customHeight="false" outlineLevel="0" collapsed="false">
      <c r="A23" s="4" t="s">
        <v>8</v>
      </c>
      <c r="B23" s="4" t="s">
        <v>32</v>
      </c>
      <c r="C23" s="4" t="s">
        <v>33</v>
      </c>
      <c r="D23" s="4" t="s">
        <v>36</v>
      </c>
      <c r="E23" s="5" t="n">
        <v>49088</v>
      </c>
      <c r="F23" s="4"/>
      <c r="G23" s="4"/>
      <c r="H23" s="4"/>
    </row>
    <row r="24" customFormat="false" ht="15" hidden="false" customHeight="false" outlineLevel="0" collapsed="false">
      <c r="A24" s="4" t="s">
        <v>8</v>
      </c>
      <c r="B24" s="4" t="s">
        <v>32</v>
      </c>
      <c r="C24" s="4" t="s">
        <v>33</v>
      </c>
      <c r="D24" s="4" t="s">
        <v>37</v>
      </c>
      <c r="E24" s="5" t="n">
        <v>39096</v>
      </c>
      <c r="F24" s="4"/>
      <c r="G24" s="4"/>
      <c r="H24" s="4"/>
    </row>
    <row r="25" customFormat="false" ht="15" hidden="false" customHeight="false" outlineLevel="0" collapsed="false">
      <c r="A25" s="4" t="s">
        <v>8</v>
      </c>
      <c r="B25" s="4" t="s">
        <v>32</v>
      </c>
      <c r="C25" s="4" t="s">
        <v>33</v>
      </c>
      <c r="D25" s="4" t="s">
        <v>38</v>
      </c>
      <c r="E25" s="5" t="n">
        <v>100128</v>
      </c>
      <c r="F25" s="4"/>
      <c r="G25" s="4"/>
      <c r="H25" s="4"/>
    </row>
    <row r="26" customFormat="false" ht="15" hidden="false" customHeight="false" outlineLevel="0" collapsed="false">
      <c r="A26" s="4" t="s">
        <v>8</v>
      </c>
      <c r="B26" s="4" t="s">
        <v>32</v>
      </c>
      <c r="C26" s="4" t="s">
        <v>33</v>
      </c>
      <c r="D26" s="4" t="s">
        <v>39</v>
      </c>
      <c r="E26" s="5" t="n">
        <v>30303</v>
      </c>
      <c r="F26" s="4"/>
      <c r="G26" s="4"/>
      <c r="H26" s="4"/>
    </row>
    <row r="27" customFormat="false" ht="15" hidden="false" customHeight="false" outlineLevel="0" collapsed="false">
      <c r="A27" s="4" t="s">
        <v>8</v>
      </c>
      <c r="B27" s="4" t="s">
        <v>32</v>
      </c>
      <c r="C27" s="4" t="s">
        <v>33</v>
      </c>
      <c r="D27" s="4" t="s">
        <v>40</v>
      </c>
      <c r="E27" s="5" t="n">
        <v>40185</v>
      </c>
      <c r="F27" s="4"/>
      <c r="G27" s="4"/>
      <c r="H27" s="4"/>
    </row>
    <row r="28" customFormat="false" ht="15" hidden="false" customHeight="false" outlineLevel="0" collapsed="false">
      <c r="A28" s="4" t="s">
        <v>8</v>
      </c>
      <c r="B28" s="4" t="s">
        <v>32</v>
      </c>
      <c r="C28" s="4" t="s">
        <v>41</v>
      </c>
      <c r="D28" s="4" t="s">
        <v>42</v>
      </c>
      <c r="E28" s="5" t="n">
        <v>61079</v>
      </c>
      <c r="F28" s="4"/>
      <c r="G28" s="4"/>
      <c r="H28" s="4"/>
    </row>
    <row r="29" customFormat="false" ht="15" hidden="false" customHeight="false" outlineLevel="0" collapsed="false">
      <c r="A29" s="4" t="s">
        <v>8</v>
      </c>
      <c r="B29" s="4" t="s">
        <v>32</v>
      </c>
      <c r="C29" s="4" t="s">
        <v>41</v>
      </c>
      <c r="D29" s="4" t="s">
        <v>43</v>
      </c>
      <c r="E29" s="5" t="n">
        <v>40892</v>
      </c>
      <c r="F29" s="4"/>
      <c r="G29" s="4"/>
      <c r="H29" s="4"/>
    </row>
    <row r="30" customFormat="false" ht="15" hidden="false" customHeight="false" outlineLevel="0" collapsed="false">
      <c r="A30" s="4" t="s">
        <v>8</v>
      </c>
      <c r="B30" s="4" t="s">
        <v>32</v>
      </c>
      <c r="C30" s="4" t="s">
        <v>41</v>
      </c>
      <c r="D30" s="4" t="s">
        <v>44</v>
      </c>
      <c r="E30" s="5" t="n">
        <v>139376</v>
      </c>
      <c r="F30" s="4"/>
      <c r="G30" s="4"/>
      <c r="H30" s="4"/>
    </row>
    <row r="31" customFormat="false" ht="15" hidden="false" customHeight="false" outlineLevel="0" collapsed="false">
      <c r="A31" s="4" t="s">
        <v>8</v>
      </c>
      <c r="B31" s="4" t="s">
        <v>32</v>
      </c>
      <c r="C31" s="4" t="s">
        <v>41</v>
      </c>
      <c r="D31" s="4" t="s">
        <v>45</v>
      </c>
      <c r="E31" s="5" t="n">
        <v>25037</v>
      </c>
      <c r="F31" s="4"/>
      <c r="G31" s="4"/>
      <c r="H31" s="4"/>
    </row>
    <row r="32" customFormat="false" ht="15" hidden="false" customHeight="false" outlineLevel="0" collapsed="false">
      <c r="A32" s="4" t="s">
        <v>8</v>
      </c>
      <c r="B32" s="4" t="s">
        <v>32</v>
      </c>
      <c r="C32" s="4" t="s">
        <v>41</v>
      </c>
      <c r="D32" s="4" t="s">
        <v>46</v>
      </c>
      <c r="E32" s="5" t="n">
        <v>149456</v>
      </c>
      <c r="F32" s="4"/>
      <c r="G32" s="4"/>
      <c r="H32" s="4"/>
    </row>
    <row r="33" customFormat="false" ht="15" hidden="false" customHeight="false" outlineLevel="0" collapsed="false">
      <c r="A33" s="6" t="s">
        <v>8</v>
      </c>
      <c r="B33" s="6" t="s">
        <v>47</v>
      </c>
      <c r="C33" s="6" t="s">
        <v>48</v>
      </c>
      <c r="D33" s="6" t="s">
        <v>49</v>
      </c>
      <c r="E33" s="7" t="n">
        <v>126253</v>
      </c>
      <c r="F33" s="6"/>
      <c r="G33" s="6"/>
      <c r="H33" s="6"/>
    </row>
    <row r="34" customFormat="false" ht="15" hidden="false" customHeight="false" outlineLevel="0" collapsed="false">
      <c r="A34" s="6" t="s">
        <v>8</v>
      </c>
      <c r="B34" s="6" t="s">
        <v>47</v>
      </c>
      <c r="C34" s="6" t="s">
        <v>48</v>
      </c>
      <c r="D34" s="6" t="s">
        <v>50</v>
      </c>
      <c r="E34" s="7" t="n">
        <v>84754</v>
      </c>
      <c r="F34" s="6"/>
      <c r="G34" s="6"/>
      <c r="H34" s="6"/>
    </row>
    <row r="35" customFormat="false" ht="15" hidden="false" customHeight="false" outlineLevel="0" collapsed="false">
      <c r="A35" s="6" t="s">
        <v>8</v>
      </c>
      <c r="B35" s="6" t="s">
        <v>47</v>
      </c>
      <c r="C35" s="6" t="s">
        <v>48</v>
      </c>
      <c r="D35" s="6" t="s">
        <v>51</v>
      </c>
      <c r="E35" s="7" t="n">
        <v>84452</v>
      </c>
      <c r="F35" s="6"/>
      <c r="G35" s="6"/>
      <c r="H35" s="6"/>
    </row>
    <row r="36" customFormat="false" ht="15" hidden="false" customHeight="false" outlineLevel="0" collapsed="false">
      <c r="A36" s="6" t="s">
        <v>8</v>
      </c>
      <c r="B36" s="6" t="s">
        <v>47</v>
      </c>
      <c r="C36" s="6" t="s">
        <v>52</v>
      </c>
      <c r="D36" s="6" t="s">
        <v>53</v>
      </c>
      <c r="E36" s="7" t="n">
        <v>69242</v>
      </c>
      <c r="F36" s="6"/>
      <c r="G36" s="6"/>
      <c r="H36" s="6"/>
    </row>
    <row r="37" customFormat="false" ht="15" hidden="false" customHeight="false" outlineLevel="0" collapsed="false">
      <c r="A37" s="6" t="s">
        <v>8</v>
      </c>
      <c r="B37" s="6" t="s">
        <v>47</v>
      </c>
      <c r="C37" s="6" t="s">
        <v>54</v>
      </c>
      <c r="D37" s="6" t="s">
        <v>55</v>
      </c>
      <c r="E37" s="7" t="n">
        <v>4045</v>
      </c>
      <c r="F37" s="6"/>
      <c r="G37" s="6"/>
      <c r="H37" s="6"/>
    </row>
    <row r="38" customFormat="false" ht="15" hidden="false" customHeight="false" outlineLevel="0" collapsed="false">
      <c r="A38" s="6" t="s">
        <v>8</v>
      </c>
      <c r="B38" s="6" t="s">
        <v>47</v>
      </c>
      <c r="C38" s="6" t="s">
        <v>56</v>
      </c>
      <c r="D38" s="6" t="s">
        <v>57</v>
      </c>
      <c r="E38" s="7" t="n">
        <v>47759</v>
      </c>
      <c r="F38" s="6"/>
      <c r="G38" s="6"/>
      <c r="H38" s="6"/>
    </row>
    <row r="39" customFormat="false" ht="15" hidden="false" customHeight="false" outlineLevel="0" collapsed="false">
      <c r="A39" s="6" t="s">
        <v>8</v>
      </c>
      <c r="B39" s="6" t="s">
        <v>47</v>
      </c>
      <c r="C39" s="6" t="s">
        <v>56</v>
      </c>
      <c r="D39" s="6" t="s">
        <v>58</v>
      </c>
      <c r="E39" s="7" t="n">
        <v>42839</v>
      </c>
      <c r="F39" s="6"/>
      <c r="G39" s="6"/>
      <c r="H39" s="6"/>
    </row>
    <row r="40" customFormat="false" ht="15" hidden="false" customHeight="false" outlineLevel="0" collapsed="false">
      <c r="A40" s="6" t="s">
        <v>8</v>
      </c>
      <c r="B40" s="6" t="s">
        <v>47</v>
      </c>
      <c r="C40" s="6" t="s">
        <v>56</v>
      </c>
      <c r="D40" s="6" t="s">
        <v>59</v>
      </c>
      <c r="E40" s="7" t="n">
        <v>34892</v>
      </c>
      <c r="F40" s="6"/>
      <c r="G40" s="6"/>
      <c r="H40" s="6"/>
    </row>
    <row r="41" customFormat="false" ht="15" hidden="false" customHeight="false" outlineLevel="0" collapsed="false">
      <c r="A41" s="6" t="s">
        <v>8</v>
      </c>
      <c r="B41" s="6" t="s">
        <v>47</v>
      </c>
      <c r="C41" s="6" t="s">
        <v>60</v>
      </c>
      <c r="D41" s="6" t="s">
        <v>61</v>
      </c>
      <c r="E41" s="7" t="n">
        <v>61100</v>
      </c>
      <c r="F41" s="6"/>
      <c r="G41" s="6"/>
      <c r="H41" s="6"/>
    </row>
    <row r="42" customFormat="false" ht="15" hidden="false" customHeight="false" outlineLevel="0" collapsed="false">
      <c r="A42" s="6" t="s">
        <v>8</v>
      </c>
      <c r="B42" s="6" t="s">
        <v>47</v>
      </c>
      <c r="C42" s="6" t="s">
        <v>60</v>
      </c>
      <c r="D42" s="6" t="s">
        <v>62</v>
      </c>
      <c r="E42" s="7" t="n">
        <v>110958</v>
      </c>
      <c r="F42" s="6"/>
      <c r="G42" s="6"/>
      <c r="H42" s="6"/>
    </row>
    <row r="43" customFormat="false" ht="15" hidden="false" customHeight="false" outlineLevel="0" collapsed="false">
      <c r="A43" s="6" t="s">
        <v>8</v>
      </c>
      <c r="B43" s="6" t="s">
        <v>47</v>
      </c>
      <c r="C43" s="6" t="s">
        <v>60</v>
      </c>
      <c r="D43" s="6" t="s">
        <v>63</v>
      </c>
      <c r="E43" s="7" t="n">
        <v>152043</v>
      </c>
      <c r="F43" s="6"/>
      <c r="G43" s="6"/>
      <c r="H43" s="6"/>
    </row>
    <row r="44" customFormat="false" ht="15" hidden="false" customHeight="false" outlineLevel="0" collapsed="false">
      <c r="A44" s="8" t="s">
        <v>8</v>
      </c>
      <c r="B44" s="8" t="s">
        <v>64</v>
      </c>
      <c r="C44" s="8" t="s">
        <v>65</v>
      </c>
      <c r="D44" s="8" t="s">
        <v>66</v>
      </c>
      <c r="E44" s="9" t="n">
        <v>114069</v>
      </c>
      <c r="F44" s="8"/>
      <c r="G44" s="8"/>
      <c r="H44" s="8"/>
    </row>
    <row r="45" customFormat="false" ht="15" hidden="false" customHeight="false" outlineLevel="0" collapsed="false">
      <c r="A45" s="8" t="s">
        <v>8</v>
      </c>
      <c r="B45" s="8" t="s">
        <v>64</v>
      </c>
      <c r="C45" s="8" t="s">
        <v>65</v>
      </c>
      <c r="D45" s="8" t="s">
        <v>67</v>
      </c>
      <c r="E45" s="9" t="n">
        <v>80566</v>
      </c>
      <c r="F45" s="8"/>
      <c r="G45" s="8"/>
      <c r="H45" s="8"/>
    </row>
    <row r="46" customFormat="false" ht="15" hidden="false" customHeight="false" outlineLevel="0" collapsed="false">
      <c r="A46" s="8" t="s">
        <v>8</v>
      </c>
      <c r="B46" s="8" t="s">
        <v>64</v>
      </c>
      <c r="C46" s="8" t="s">
        <v>68</v>
      </c>
      <c r="D46" s="8" t="s">
        <v>69</v>
      </c>
      <c r="E46" s="9" t="n">
        <v>36588</v>
      </c>
      <c r="F46" s="8"/>
      <c r="G46" s="8"/>
      <c r="H46" s="8"/>
    </row>
    <row r="47" customFormat="false" ht="15" hidden="false" customHeight="false" outlineLevel="0" collapsed="false">
      <c r="A47" s="8" t="s">
        <v>8</v>
      </c>
      <c r="B47" s="8" t="s">
        <v>64</v>
      </c>
      <c r="C47" s="8" t="s">
        <v>68</v>
      </c>
      <c r="D47" s="8" t="s">
        <v>70</v>
      </c>
      <c r="E47" s="9" t="n">
        <v>36024</v>
      </c>
      <c r="F47" s="8"/>
      <c r="G47" s="8"/>
      <c r="H47" s="8"/>
    </row>
    <row r="48" customFormat="false" ht="15" hidden="false" customHeight="false" outlineLevel="0" collapsed="false">
      <c r="A48" s="8" t="s">
        <v>8</v>
      </c>
      <c r="B48" s="8" t="s">
        <v>64</v>
      </c>
      <c r="C48" s="8" t="s">
        <v>68</v>
      </c>
      <c r="D48" s="8" t="s">
        <v>71</v>
      </c>
      <c r="E48" s="9" t="n">
        <v>105461</v>
      </c>
      <c r="F48" s="8"/>
      <c r="G48" s="8"/>
      <c r="H48" s="8"/>
    </row>
    <row r="49" customFormat="false" ht="15" hidden="false" customHeight="false" outlineLevel="0" collapsed="false">
      <c r="A49" s="10" t="s">
        <v>8</v>
      </c>
      <c r="B49" s="10" t="s">
        <v>72</v>
      </c>
      <c r="C49" s="10" t="s">
        <v>73</v>
      </c>
      <c r="D49" s="10" t="s">
        <v>74</v>
      </c>
      <c r="E49" s="11" t="n">
        <v>204375</v>
      </c>
      <c r="F49" s="10"/>
      <c r="G49" s="10"/>
      <c r="H49" s="10"/>
    </row>
    <row r="50" customFormat="false" ht="15" hidden="false" customHeight="false" outlineLevel="0" collapsed="false">
      <c r="A50" s="10" t="s">
        <v>8</v>
      </c>
      <c r="B50" s="10" t="s">
        <v>72</v>
      </c>
      <c r="C50" s="10" t="s">
        <v>73</v>
      </c>
      <c r="D50" s="10" t="s">
        <v>75</v>
      </c>
      <c r="E50" s="11" t="n">
        <v>108069</v>
      </c>
      <c r="F50" s="10"/>
      <c r="G50" s="10"/>
      <c r="H50" s="10"/>
    </row>
    <row r="51" customFormat="false" ht="15" hidden="false" customHeight="false" outlineLevel="0" collapsed="false">
      <c r="A51" s="10" t="s">
        <v>8</v>
      </c>
      <c r="B51" s="10" t="s">
        <v>72</v>
      </c>
      <c r="C51" s="10" t="s">
        <v>76</v>
      </c>
      <c r="D51" s="10" t="s">
        <v>77</v>
      </c>
      <c r="E51" s="11" t="n">
        <v>224765</v>
      </c>
      <c r="F51" s="10"/>
      <c r="G51" s="10"/>
      <c r="H51" s="10"/>
    </row>
    <row r="52" customFormat="false" ht="15" hidden="false" customHeight="false" outlineLevel="0" collapsed="false">
      <c r="A52" s="10" t="s">
        <v>8</v>
      </c>
      <c r="B52" s="10" t="s">
        <v>72</v>
      </c>
      <c r="C52" s="10" t="s">
        <v>76</v>
      </c>
      <c r="D52" s="10" t="s">
        <v>78</v>
      </c>
      <c r="E52" s="11" t="n">
        <v>56707</v>
      </c>
      <c r="F52" s="10"/>
      <c r="G52" s="10"/>
      <c r="H52" s="10"/>
    </row>
    <row r="53" customFormat="false" ht="15" hidden="false" customHeight="false" outlineLevel="0" collapsed="false">
      <c r="A53" s="10" t="s">
        <v>8</v>
      </c>
      <c r="B53" s="10" t="s">
        <v>72</v>
      </c>
      <c r="C53" s="10" t="s">
        <v>79</v>
      </c>
      <c r="D53" s="10" t="s">
        <v>80</v>
      </c>
      <c r="E53" s="11" t="n">
        <v>71036</v>
      </c>
      <c r="F53" s="10"/>
      <c r="G53" s="10"/>
      <c r="H53" s="10"/>
    </row>
    <row r="54" customFormat="false" ht="15" hidden="false" customHeight="false" outlineLevel="0" collapsed="false">
      <c r="A54" s="10" t="s">
        <v>8</v>
      </c>
      <c r="B54" s="10" t="s">
        <v>72</v>
      </c>
      <c r="C54" s="10" t="s">
        <v>79</v>
      </c>
      <c r="D54" s="10" t="s">
        <v>81</v>
      </c>
      <c r="E54" s="11" t="n">
        <v>105362</v>
      </c>
      <c r="F54" s="10"/>
      <c r="G54" s="10"/>
      <c r="H54" s="10"/>
    </row>
    <row r="55" customFormat="false" ht="15" hidden="false" customHeight="false" outlineLevel="0" collapsed="false">
      <c r="A55" s="12"/>
      <c r="B55" s="12"/>
      <c r="C55" s="12"/>
      <c r="D55" s="13" t="s">
        <v>82</v>
      </c>
      <c r="E55" s="14" t="n">
        <f aca="false">SUM(E2:E54)</f>
        <v>4004425</v>
      </c>
      <c r="F55" s="12"/>
      <c r="G55" s="12"/>
      <c r="H55" s="12"/>
    </row>
  </sheetData>
  <autoFilter ref="A1:H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5" t="s">
        <v>83</v>
      </c>
    </row>
    <row r="2" customFormat="false" ht="15" hidden="false" customHeight="false" outlineLevel="0" collapsed="false">
      <c r="A2" s="16" t="s">
        <v>84</v>
      </c>
    </row>
    <row r="3" customFormat="false" ht="15" hidden="false" customHeight="false" outlineLevel="0" collapsed="false">
      <c r="A3" s="16" t="s">
        <v>85</v>
      </c>
    </row>
    <row r="4" customFormat="false" ht="15" hidden="false" customHeight="false" outlineLevel="0" collapsed="false">
      <c r="A4" s="16" t="s">
        <v>86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6" t="s">
        <v>87</v>
      </c>
    </row>
    <row r="7" customFormat="false" ht="15" hidden="false" customHeight="false" outlineLevel="0" collapsed="false">
      <c r="A7" s="16" t="s">
        <v>88</v>
      </c>
    </row>
    <row r="8" customFormat="false" ht="15" hidden="false" customHeight="false" outlineLevel="0" collapsed="false">
      <c r="A8" s="16" t="s">
        <v>89</v>
      </c>
    </row>
    <row r="9" customFormat="false" ht="15" hidden="false" customHeight="false" outlineLevel="0" collapsed="false">
      <c r="A9" s="16" t="s">
        <v>90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6" t="s">
        <v>91</v>
      </c>
    </row>
    <row r="12" customFormat="false" ht="15" hidden="false" customHeight="false" outlineLevel="0" collapsed="false">
      <c r="A12" s="1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2026-08-07T22:52:56Z</dcterms:created>
  <dc:creator>openpyxl</dc:creator>
  <dc:description/>
  <dc:language>en-US</dc:language>
  <cp:lastModifiedBy/>
  <dcterms:modified xsi:type="dcterms:W3CDTF">2026-08-07T22:52:56Z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